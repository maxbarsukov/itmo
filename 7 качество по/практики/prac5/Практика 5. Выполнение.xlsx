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<sst xmlns="http://schemas.openxmlformats.org/spreadsheetml/2006/main" count="59" uniqueCount="54">
  <si>
    <t>кол-во разл. операторов</t>
  </si>
  <si>
    <t>кол-во разл. операндов</t>
  </si>
  <si>
    <t>общее кол-во операторов</t>
  </si>
  <si>
    <t>общее кол-во операндов</t>
  </si>
  <si>
    <t>main()</t>
  </si>
  <si>
    <t>η₁</t>
  </si>
  <si>
    <t>η₂</t>
  </si>
  <si>
    <t>η</t>
  </si>
  <si>
    <t>N₁</t>
  </si>
  <si>
    <t>N₂</t>
  </si>
  <si>
    <t>N</t>
  </si>
  <si>
    <t>{</t>
  </si>
  <si>
    <t>int a, b, c, avg;</t>
  </si>
  <si>
    <t>scanf("%d %d %d", &amp;a, &amp;b, &amp;c);</t>
  </si>
  <si>
    <t>avg = (a+b+c)/3;</t>
  </si>
  <si>
    <t>printf("avg = %d", avg);</t>
  </si>
  <si>
    <t>Уровень сложности</t>
  </si>
  <si>
    <t>}</t>
  </si>
  <si>
    <t>N~</t>
  </si>
  <si>
    <t>V</t>
  </si>
  <si>
    <t>D</t>
  </si>
  <si>
    <t>E</t>
  </si>
  <si>
    <t>T</t>
  </si>
  <si>
    <t>B</t>
  </si>
  <si>
    <t>Маккейб:</t>
  </si>
  <si>
    <t>M = E - N + 2P</t>
  </si>
  <si>
    <t>Действие, V_i</t>
  </si>
  <si>
    <t>Вес, M_i</t>
  </si>
  <si>
    <t>Количество</t>
  </si>
  <si>
    <t>Сумма</t>
  </si>
  <si>
    <t>Определение (описание) перем.-параметра</t>
  </si>
  <si>
    <t>Определение (описание) временной перем.</t>
  </si>
  <si>
    <t>Присваивание значения</t>
  </si>
  <si>
    <t>Вложенное выражение</t>
  </si>
  <si>
    <t>Сообщение без параметров</t>
  </si>
  <si>
    <t>Арифметическая операция</t>
  </si>
  <si>
    <t>Сообщение с параметрами</t>
  </si>
  <si>
    <t>Выозв стандартной функции интерфейса (API)</t>
  </si>
  <si>
    <t>Вызов пользовательской функции (простой вызов)</t>
  </si>
  <si>
    <t xml:space="preserve">С = </t>
  </si>
  <si>
    <t>Сложность Чепина:</t>
  </si>
  <si>
    <t>Q = a_1 * P + a_2 * M + a_3 * C + a_4 * T</t>
  </si>
  <si>
    <t>P</t>
  </si>
  <si>
    <t>a, b, c</t>
  </si>
  <si>
    <t>M</t>
  </si>
  <si>
    <t>avg</t>
  </si>
  <si>
    <t>C</t>
  </si>
  <si>
    <t>-</t>
  </si>
  <si>
    <t>HM</t>
  </si>
  <si>
    <t>Q</t>
  </si>
  <si>
    <t>Коэф.</t>
  </si>
  <si>
    <t>Границы</t>
  </si>
  <si>
    <t xml:space="preserve">Вывод: </t>
  </si>
  <si>
    <t xml:space="preserve">Мы рассматривали различные метрики для оценивания сложности программы и их особенности.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</si>
</sst>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01418"/>
      <name val="Monospace"/>
    </font>
    <font>
      <color rgb="FFBBBBBB"/>
      <name val="Monospace"/>
    </font>
    <font>
      <color rgb="FF666666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3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2:G12" displayName="Лоренц" name="Лоренц" id="1">
  <tableColumns count="4">
    <tableColumn name="Действие, V_i" id="1"/>
    <tableColumn name="Вес, M_i" id="2"/>
    <tableColumn name="Количество" id="3"/>
    <tableColumn name="Сумма" id="4"/>
  </tableColumns>
  <tableStyleInfo name="Лист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7.63"/>
    <col customWidth="1" min="12" max="12" width="14.88"/>
    <col customWidth="1" min="13" max="13" width="14.75"/>
  </cols>
  <sheetData>
    <row r="3">
      <c r="E3" s="1" t="s">
        <v>0</v>
      </c>
      <c r="F3" s="1" t="s">
        <v>1</v>
      </c>
      <c r="G3" s="2"/>
      <c r="H3" s="1" t="s">
        <v>2</v>
      </c>
      <c r="I3" s="1" t="s">
        <v>3</v>
      </c>
      <c r="J3" s="2"/>
    </row>
    <row r="4">
      <c r="B4" s="3" t="s">
        <v>4</v>
      </c>
      <c r="E4" s="4" t="s">
        <v>5</v>
      </c>
      <c r="F4" s="4" t="s">
        <v>6</v>
      </c>
      <c r="G4" s="5" t="s">
        <v>7</v>
      </c>
      <c r="H4" s="4" t="s">
        <v>8</v>
      </c>
      <c r="I4" s="4" t="s">
        <v>9</v>
      </c>
      <c r="J4" s="5" t="s">
        <v>10</v>
      </c>
    </row>
    <row r="5">
      <c r="B5" s="3" t="s">
        <v>11</v>
      </c>
      <c r="E5" s="4">
        <v>12.0</v>
      </c>
      <c r="F5" s="4">
        <v>7.0</v>
      </c>
      <c r="G5" s="6">
        <f>SUM(E5,F5)</f>
        <v>19</v>
      </c>
      <c r="H5" s="4">
        <v>27.0</v>
      </c>
      <c r="I5" s="4">
        <v>15.0</v>
      </c>
      <c r="J5" s="5">
        <v>42.0</v>
      </c>
    </row>
    <row r="6">
      <c r="B6" s="7" t="s">
        <v>12</v>
      </c>
    </row>
    <row r="7">
      <c r="B7" s="8" t="s">
        <v>13</v>
      </c>
    </row>
    <row r="8">
      <c r="B8" s="8" t="s">
        <v>14</v>
      </c>
    </row>
    <row r="9">
      <c r="B9" s="7" t="s">
        <v>15</v>
      </c>
      <c r="G9" s="9" t="s">
        <v>16</v>
      </c>
    </row>
    <row r="10">
      <c r="B10" s="7" t="s">
        <v>17</v>
      </c>
      <c r="E10" s="5" t="s">
        <v>18</v>
      </c>
      <c r="F10" s="5" t="s">
        <v>19</v>
      </c>
      <c r="G10" s="5" t="s">
        <v>20</v>
      </c>
      <c r="H10" s="5" t="s">
        <v>21</v>
      </c>
      <c r="I10" s="5" t="s">
        <v>22</v>
      </c>
      <c r="J10" s="5" t="s">
        <v>23</v>
      </c>
    </row>
    <row r="11">
      <c r="E11" s="6">
        <f>12*LOG(E5,2)+7*LOG(F5,2)</f>
        <v>62.67103446</v>
      </c>
      <c r="F11" s="6">
        <f>42*LOG(G5, 2)</f>
        <v>178.4129556</v>
      </c>
      <c r="G11" s="6">
        <f>(E5/2)*(I5/F5)</f>
        <v>12.85714286</v>
      </c>
      <c r="H11" s="6">
        <f>F11*G11</f>
        <v>2293.880857</v>
      </c>
      <c r="I11" s="6">
        <f>H11/18</f>
        <v>127.4378254</v>
      </c>
      <c r="J11" s="6">
        <f>POWER(H11,2/3)/3000</f>
        <v>0.05797747759</v>
      </c>
    </row>
    <row r="14">
      <c r="E14" s="5" t="s">
        <v>24</v>
      </c>
      <c r="F14" s="5" t="s">
        <v>25</v>
      </c>
      <c r="G14" s="5">
        <f>4-5+(2*1)</f>
        <v>1</v>
      </c>
      <c r="H1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2.5"/>
  </cols>
  <sheetData>
    <row r="2" ht="22.5" customHeight="1">
      <c r="D2" s="10" t="s">
        <v>26</v>
      </c>
      <c r="E2" s="10" t="s">
        <v>27</v>
      </c>
      <c r="F2" s="10" t="s">
        <v>28</v>
      </c>
      <c r="G2" s="10" t="s">
        <v>29</v>
      </c>
    </row>
    <row r="3" ht="22.5" customHeight="1">
      <c r="D3" s="11" t="s">
        <v>30</v>
      </c>
      <c r="E3" s="12">
        <v>0.3</v>
      </c>
      <c r="F3" s="11">
        <v>4.0</v>
      </c>
      <c r="G3" s="13">
        <f t="shared" ref="G3:G11" si="1">E3*F3</f>
        <v>1.2</v>
      </c>
    </row>
    <row r="4" ht="22.5" customHeight="1">
      <c r="D4" s="11" t="s">
        <v>31</v>
      </c>
      <c r="E4" s="12">
        <v>0.5</v>
      </c>
      <c r="F4" s="11">
        <v>0.0</v>
      </c>
      <c r="G4" s="13">
        <f t="shared" si="1"/>
        <v>0</v>
      </c>
    </row>
    <row r="5" ht="22.5" customHeight="1">
      <c r="D5" s="11" t="s">
        <v>32</v>
      </c>
      <c r="E5" s="12">
        <v>0.5</v>
      </c>
      <c r="F5" s="11">
        <v>1.0</v>
      </c>
      <c r="G5" s="13">
        <f t="shared" si="1"/>
        <v>0.5</v>
      </c>
    </row>
    <row r="6" ht="22.5" customHeight="1">
      <c r="D6" s="11" t="s">
        <v>33</v>
      </c>
      <c r="E6" s="12">
        <v>0.5</v>
      </c>
      <c r="F6" s="11"/>
      <c r="G6" s="13">
        <f t="shared" si="1"/>
        <v>0</v>
      </c>
    </row>
    <row r="7" ht="22.5" customHeight="1">
      <c r="D7" s="11" t="s">
        <v>34</v>
      </c>
      <c r="E7" s="12">
        <v>1.0</v>
      </c>
      <c r="G7" s="13">
        <f t="shared" si="1"/>
        <v>0</v>
      </c>
    </row>
    <row r="8" ht="22.5" customHeight="1">
      <c r="D8" s="11" t="s">
        <v>35</v>
      </c>
      <c r="E8" s="12">
        <v>2.0</v>
      </c>
      <c r="F8" s="11">
        <v>1.0</v>
      </c>
      <c r="G8" s="13">
        <f t="shared" si="1"/>
        <v>2</v>
      </c>
    </row>
    <row r="9" ht="22.5" customHeight="1">
      <c r="D9" s="11" t="s">
        <v>36</v>
      </c>
      <c r="E9" s="12">
        <v>3.0</v>
      </c>
      <c r="G9" s="13">
        <f t="shared" si="1"/>
        <v>0</v>
      </c>
    </row>
    <row r="10" ht="22.5" customHeight="1">
      <c r="D10" s="11" t="s">
        <v>37</v>
      </c>
      <c r="E10" s="12">
        <v>5.0</v>
      </c>
      <c r="F10" s="11">
        <v>2.0</v>
      </c>
      <c r="G10" s="13">
        <f t="shared" si="1"/>
        <v>10</v>
      </c>
    </row>
    <row r="11" ht="22.5" customHeight="1">
      <c r="D11" s="11" t="s">
        <v>38</v>
      </c>
      <c r="E11" s="12">
        <v>7.0</v>
      </c>
      <c r="G11" s="13">
        <f t="shared" si="1"/>
        <v>0</v>
      </c>
    </row>
    <row r="12" ht="22.5" customHeight="1">
      <c r="D12" s="11" t="s">
        <v>39</v>
      </c>
      <c r="E12" s="14"/>
      <c r="G12" s="13">
        <f>SUM(G3:G11)</f>
        <v>13.7</v>
      </c>
    </row>
    <row r="14">
      <c r="D14" s="5" t="s">
        <v>40</v>
      </c>
    </row>
    <row r="15">
      <c r="D15" s="5" t="s">
        <v>41</v>
      </c>
      <c r="E15" s="6">
        <f>1*C17+2*C18+3*C19+0.5*C20</f>
        <v>5</v>
      </c>
    </row>
    <row r="17">
      <c r="B17" s="5" t="s">
        <v>42</v>
      </c>
      <c r="C17" s="5">
        <v>3.0</v>
      </c>
      <c r="D17" s="5" t="s">
        <v>43</v>
      </c>
    </row>
    <row r="18">
      <c r="B18" s="5" t="s">
        <v>44</v>
      </c>
      <c r="C18" s="5">
        <v>1.0</v>
      </c>
      <c r="D18" s="5" t="s">
        <v>45</v>
      </c>
    </row>
    <row r="19">
      <c r="B19" s="5" t="s">
        <v>46</v>
      </c>
      <c r="C19" s="5">
        <v>0.0</v>
      </c>
      <c r="D19" s="5" t="s">
        <v>47</v>
      </c>
    </row>
    <row r="20">
      <c r="B20" s="5" t="s">
        <v>22</v>
      </c>
      <c r="C20" s="5">
        <v>0.0</v>
      </c>
      <c r="D20" s="5" t="s">
        <v>47</v>
      </c>
    </row>
  </sheetData>
  <dataValidations>
    <dataValidation type="custom" allowBlank="1" showDropDown="1" sqref="E3:E12">
      <formula1>AND(ISNUMBER(E3),(NOT(OR(NOT(ISERROR(DATEVALUE(E3))), AND(ISNUMBER(E3), LEFT(CELL("format", E3))="D")))))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48</v>
      </c>
      <c r="C2" s="6">
        <f>B5*'Лист2'!G12+C5*'Лист1'!G11+D5*'Лист1'!G14+E5*'Лист2'!E13</f>
        <v>7.597857143</v>
      </c>
    </row>
    <row r="4">
      <c r="B4" s="4" t="s">
        <v>46</v>
      </c>
      <c r="C4" s="4" t="s">
        <v>20</v>
      </c>
      <c r="D4" s="4" t="s">
        <v>44</v>
      </c>
      <c r="E4" s="4" t="s">
        <v>49</v>
      </c>
    </row>
    <row r="5">
      <c r="A5" s="5" t="s">
        <v>50</v>
      </c>
      <c r="B5" s="4">
        <v>0.15</v>
      </c>
      <c r="C5" s="4">
        <v>0.4</v>
      </c>
      <c r="D5" s="4">
        <v>0.4</v>
      </c>
      <c r="E5" s="4">
        <v>0.05</v>
      </c>
    </row>
    <row r="6">
      <c r="A6" s="5" t="s">
        <v>51</v>
      </c>
      <c r="B6" s="5">
        <v>65.0</v>
      </c>
      <c r="C6" s="5">
        <v>30.0</v>
      </c>
      <c r="D6" s="5">
        <v>20.0</v>
      </c>
      <c r="E6" s="5">
        <v>30.0</v>
      </c>
    </row>
    <row r="8">
      <c r="B8" s="5" t="s">
        <v>52</v>
      </c>
    </row>
    <row r="9">
      <c r="B9" s="9" t="s">
        <v>53</v>
      </c>
    </row>
  </sheetData>
  <mergeCells count="1">
    <mergeCell ref="B9:E13"/>
  </mergeCells>
  <drawing r:id="rId1"/>
</worksheet>
</file>